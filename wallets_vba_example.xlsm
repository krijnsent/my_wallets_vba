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my_wallets_vba\"/>
    </mc:Choice>
  </mc:AlternateContent>
  <xr:revisionPtr revIDLastSave="0" documentId="13_ncr:1_{325D7993-181D-44C4-BA3C-1664875B798F}" xr6:coauthVersionLast="44" xr6:coauthVersionMax="44" xr10:uidLastSave="{00000000-0000-0000-0000-000000000000}"/>
  <bookViews>
    <workbookView xWindow="-108" yWindow="-108" windowWidth="23256" windowHeight="12576" tabRatio="669" activeTab="2" xr2:uid="{00000000-000D-0000-FFFF-FFFF00000000}"/>
  </bookViews>
  <sheets>
    <sheet name="FORMULAS" sheetId="9" r:id="rId1"/>
    <sheet name="RATES_MACRO" sheetId="11" r:id="rId2"/>
    <sheet name="WALLET_ETH" sheetId="18" r:id="rId3"/>
  </sheets>
  <functionGroups builtInGroupCount="19"/>
  <definedNames>
    <definedName name="apikey_binance">#REF!</definedName>
    <definedName name="apikey_bitfinex">#REF!</definedName>
    <definedName name="apikey_bitstamp">#REF!</definedName>
    <definedName name="apikey_bittrex">#REF!</definedName>
    <definedName name="apikey_btce">#REF!</definedName>
    <definedName name="apikey_coinbase">#REF!</definedName>
    <definedName name="apikey_coinbase_pro">#REF!</definedName>
    <definedName name="apikey_coinone">#REF!</definedName>
    <definedName name="apikey_coinspot">#REF!</definedName>
    <definedName name="apikey_cryptopia">#REF!</definedName>
    <definedName name="apikey_hitbtc">#REF!</definedName>
    <definedName name="apikey_kraken">#REF!</definedName>
    <definedName name="apikey_kucoin">#REF!</definedName>
    <definedName name="apikey_poloniex">#REF!</definedName>
    <definedName name="apikey_wexnz">#REF!</definedName>
    <definedName name="customer_id_bitstamp">#REF!</definedName>
    <definedName name="passphrase_coinbase_pro">#REF!</definedName>
    <definedName name="passphrase_kucoin">#REF!</definedName>
    <definedName name="secretkey_binance">#REF!</definedName>
    <definedName name="secretkey_bitfinex">#REF!</definedName>
    <definedName name="secretkey_bitstamp">#REF!</definedName>
    <definedName name="secretkey_bittrex">#REF!</definedName>
    <definedName name="secretkey_btce">#REF!</definedName>
    <definedName name="secretkey_coinbase">#REF!</definedName>
    <definedName name="secretkey_coinbase_pro">#REF!</definedName>
    <definedName name="secretkey_coinone">#REF!</definedName>
    <definedName name="secretkey_coinspot">#REF!</definedName>
    <definedName name="secretkey_cryptopia">#REF!</definedName>
    <definedName name="secretkey_hitbtc">#REF!</definedName>
    <definedName name="secretkey_kraken">#REF!</definedName>
    <definedName name="secretkey_kucoin">#REF!</definedName>
    <definedName name="secretkey_poloniex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8" i="9" l="1"/>
  <c r="D16" i="9"/>
  <c r="D29" i="9"/>
  <c r="D72" i="9" a="1"/>
  <c r="D41" i="9"/>
  <c r="D17" i="9"/>
  <c r="D30" i="9"/>
  <c r="D42" i="9"/>
  <c r="D59" i="9" a="1"/>
  <c r="D69" i="9" l="1"/>
  <c r="F65" i="9"/>
  <c r="D65" i="9"/>
  <c r="F68" i="9"/>
  <c r="D64" i="9"/>
  <c r="D59" i="9"/>
  <c r="F67" i="9"/>
  <c r="E61" i="9"/>
  <c r="E68" i="9"/>
  <c r="D66" i="9"/>
  <c r="F61" i="9"/>
  <c r="F62" i="9"/>
  <c r="D67" i="9"/>
  <c r="D62" i="9"/>
  <c r="F59" i="9"/>
  <c r="E66" i="9"/>
  <c r="D61" i="9"/>
  <c r="E60" i="9"/>
  <c r="E69" i="9"/>
  <c r="E63" i="9"/>
  <c r="E67" i="9"/>
  <c r="D68" i="9"/>
  <c r="F69" i="9"/>
  <c r="E62" i="9"/>
  <c r="F64" i="9"/>
  <c r="E64" i="9"/>
  <c r="F60" i="9"/>
  <c r="D63" i="9"/>
  <c r="F66" i="9"/>
  <c r="E59" i="9"/>
  <c r="E65" i="9"/>
  <c r="F63" i="9"/>
  <c r="D60" i="9"/>
  <c r="J90" i="9"/>
  <c r="I104" i="9"/>
  <c r="E108" i="9"/>
  <c r="G90" i="9"/>
  <c r="F94" i="9"/>
  <c r="D74" i="9"/>
  <c r="H81" i="9"/>
  <c r="D85" i="9"/>
  <c r="K101" i="9"/>
  <c r="H106" i="9"/>
  <c r="F114" i="9"/>
  <c r="G117" i="9"/>
  <c r="I114" i="9"/>
  <c r="K75" i="9"/>
  <c r="G110" i="9"/>
  <c r="E74" i="9"/>
  <c r="D96" i="9"/>
  <c r="H103" i="9"/>
  <c r="F115" i="9"/>
  <c r="I85" i="9"/>
  <c r="E93" i="9"/>
  <c r="G111" i="9"/>
  <c r="G116" i="9"/>
  <c r="E75" i="9"/>
  <c r="J72" i="9"/>
  <c r="I95" i="9"/>
  <c r="E103" i="9"/>
  <c r="I106" i="9"/>
  <c r="J98" i="9"/>
  <c r="F99" i="9"/>
  <c r="H76" i="9"/>
  <c r="D76" i="9"/>
  <c r="H83" i="9"/>
  <c r="H80" i="9"/>
  <c r="D105" i="9"/>
  <c r="J116" i="9"/>
  <c r="F116" i="9"/>
  <c r="K83" i="9"/>
  <c r="K86" i="9"/>
  <c r="J118" i="9"/>
  <c r="G89" i="9"/>
  <c r="H113" i="9"/>
  <c r="J93" i="9"/>
  <c r="G109" i="9"/>
  <c r="K73" i="9"/>
  <c r="D73" i="9"/>
  <c r="I73" i="9"/>
  <c r="G101" i="9"/>
  <c r="J75" i="9"/>
  <c r="D116" i="9"/>
  <c r="K84" i="9"/>
  <c r="H96" i="9"/>
  <c r="D94" i="9"/>
  <c r="E91" i="9"/>
  <c r="G74" i="9"/>
  <c r="H72" i="9"/>
  <c r="H74" i="9"/>
  <c r="H95" i="9"/>
  <c r="J117" i="9"/>
  <c r="J108" i="9"/>
  <c r="E118" i="9"/>
  <c r="D91" i="9"/>
  <c r="I99" i="9"/>
  <c r="E77" i="9"/>
  <c r="G86" i="9"/>
  <c r="K117" i="9"/>
  <c r="E87" i="9"/>
  <c r="E113" i="9"/>
  <c r="F108" i="9"/>
  <c r="E110" i="9"/>
  <c r="J103" i="9"/>
  <c r="J101" i="9"/>
  <c r="K76" i="9"/>
  <c r="J110" i="9"/>
  <c r="J94" i="9"/>
  <c r="D115" i="9"/>
  <c r="G73" i="9"/>
  <c r="D98" i="9"/>
  <c r="H105" i="9"/>
  <c r="D109" i="9"/>
  <c r="G119" i="9"/>
  <c r="E88" i="9"/>
  <c r="G93" i="9"/>
  <c r="K72" i="9"/>
  <c r="K114" i="9"/>
  <c r="D86" i="9"/>
  <c r="J77" i="9"/>
  <c r="E98" i="9"/>
  <c r="I97" i="9"/>
  <c r="E105" i="9"/>
  <c r="F92" i="9"/>
  <c r="F96" i="9"/>
  <c r="D75" i="9"/>
  <c r="K85" i="9"/>
  <c r="I87" i="9"/>
  <c r="E95" i="9"/>
  <c r="H90" i="9"/>
  <c r="F82" i="9"/>
  <c r="F97" i="9"/>
  <c r="F104" i="9"/>
  <c r="K78" i="9"/>
  <c r="G78" i="9"/>
  <c r="H100" i="9"/>
  <c r="D100" i="9"/>
  <c r="H107" i="9"/>
  <c r="F111" i="9"/>
  <c r="I86" i="9"/>
  <c r="G98" i="9"/>
  <c r="G97" i="9"/>
  <c r="K82" i="9"/>
  <c r="K93" i="9"/>
  <c r="J74" i="9"/>
  <c r="I96" i="9"/>
  <c r="E100" i="9"/>
  <c r="F95" i="9"/>
  <c r="F78" i="9"/>
  <c r="H99" i="9"/>
  <c r="I78" i="9"/>
  <c r="G81" i="9"/>
  <c r="J100" i="9"/>
  <c r="I88" i="9"/>
  <c r="E94" i="9"/>
  <c r="F77" i="9"/>
  <c r="H110" i="9"/>
  <c r="K90" i="9"/>
  <c r="I76" i="9"/>
  <c r="H112" i="9"/>
  <c r="K116" i="9"/>
  <c r="F73" i="9"/>
  <c r="G108" i="9"/>
  <c r="H77" i="9"/>
  <c r="G92" i="9"/>
  <c r="K96" i="9"/>
  <c r="E111" i="9"/>
  <c r="H78" i="9"/>
  <c r="G104" i="9"/>
  <c r="D77" i="9"/>
  <c r="H98" i="9"/>
  <c r="J119" i="9"/>
  <c r="E116" i="9"/>
  <c r="H108" i="9"/>
  <c r="E73" i="9"/>
  <c r="I94" i="9"/>
  <c r="I105" i="9"/>
  <c r="I84" i="9"/>
  <c r="D118" i="9"/>
  <c r="J83" i="9"/>
  <c r="J115" i="9"/>
  <c r="F119" i="9"/>
  <c r="I100" i="9"/>
  <c r="I83" i="9"/>
  <c r="H116" i="9"/>
  <c r="H118" i="9"/>
  <c r="E112" i="9"/>
  <c r="K92" i="9"/>
  <c r="H119" i="9"/>
  <c r="J82" i="9"/>
  <c r="F118" i="9"/>
  <c r="D89" i="9"/>
  <c r="F87" i="9"/>
  <c r="F86" i="9"/>
  <c r="F101" i="9"/>
  <c r="H93" i="9"/>
  <c r="G75" i="9"/>
  <c r="D99" i="9"/>
  <c r="H102" i="9"/>
  <c r="F106" i="9"/>
  <c r="I77" i="9"/>
  <c r="E85" i="9"/>
  <c r="G95" i="9"/>
  <c r="K99" i="9"/>
  <c r="H92" i="9"/>
  <c r="D92" i="9"/>
  <c r="G120" i="9"/>
  <c r="E82" i="9"/>
  <c r="I81" i="9"/>
  <c r="E89" i="9"/>
  <c r="D103" i="9"/>
  <c r="I110" i="9"/>
  <c r="K106" i="9"/>
  <c r="K103" i="9"/>
  <c r="K97" i="9"/>
  <c r="D80" i="9"/>
  <c r="H87" i="9"/>
  <c r="F84" i="9"/>
  <c r="F91" i="9"/>
  <c r="D95" i="9"/>
  <c r="F120" i="9"/>
  <c r="D90" i="9"/>
  <c r="H97" i="9"/>
  <c r="D101" i="9"/>
  <c r="J89" i="9"/>
  <c r="F93" i="9"/>
  <c r="F76" i="9"/>
  <c r="D106" i="9"/>
  <c r="I74" i="9"/>
  <c r="E96" i="9"/>
  <c r="I115" i="9"/>
  <c r="I75" i="9"/>
  <c r="E106" i="9"/>
  <c r="I90" i="9"/>
  <c r="I108" i="9"/>
  <c r="I107" i="9"/>
  <c r="K77" i="9"/>
  <c r="E78" i="9"/>
  <c r="I117" i="9"/>
  <c r="D87" i="9"/>
  <c r="G96" i="9"/>
  <c r="J104" i="9"/>
  <c r="E90" i="9"/>
  <c r="F72" i="9"/>
  <c r="H91" i="9"/>
  <c r="E80" i="9"/>
  <c r="F85" i="9"/>
  <c r="K74" i="9"/>
  <c r="H94" i="9"/>
  <c r="D112" i="9"/>
  <c r="G79" i="9"/>
  <c r="K81" i="9"/>
  <c r="I79" i="9"/>
  <c r="F107" i="9"/>
  <c r="J113" i="9"/>
  <c r="F105" i="9"/>
  <c r="J97" i="9"/>
  <c r="F113" i="9"/>
  <c r="K105" i="9"/>
  <c r="K89" i="9"/>
  <c r="D111" i="9"/>
  <c r="D113" i="9"/>
  <c r="G88" i="9"/>
  <c r="H104" i="9"/>
  <c r="I116" i="9"/>
  <c r="F81" i="9"/>
  <c r="F112" i="9"/>
  <c r="D104" i="9"/>
  <c r="I120" i="9"/>
  <c r="I82" i="9"/>
  <c r="J88" i="9"/>
  <c r="E102" i="9"/>
  <c r="E92" i="9"/>
  <c r="G118" i="9"/>
  <c r="I118" i="9"/>
  <c r="K79" i="9"/>
  <c r="H117" i="9"/>
  <c r="D108" i="9"/>
  <c r="G112" i="9"/>
  <c r="J86" i="9"/>
  <c r="J106" i="9"/>
  <c r="E101" i="9"/>
  <c r="J81" i="9"/>
  <c r="D78" i="9"/>
  <c r="E114" i="9"/>
  <c r="E117" i="9"/>
  <c r="J76" i="9"/>
  <c r="H75" i="9"/>
  <c r="D97" i="9"/>
  <c r="F102" i="9"/>
  <c r="E83" i="9"/>
  <c r="D107" i="9"/>
  <c r="G83" i="9"/>
  <c r="K113" i="9"/>
  <c r="H120" i="9"/>
  <c r="K120" i="9"/>
  <c r="J80" i="9"/>
  <c r="J85" i="9"/>
  <c r="J79" i="9"/>
  <c r="G76" i="9"/>
  <c r="J87" i="9"/>
  <c r="F79" i="9"/>
  <c r="H86" i="9"/>
  <c r="K112" i="9"/>
  <c r="J84" i="9"/>
  <c r="H88" i="9"/>
  <c r="H101" i="9"/>
  <c r="G99" i="9"/>
  <c r="G85" i="9"/>
  <c r="I98" i="9"/>
  <c r="K115" i="9"/>
  <c r="G72" i="9"/>
  <c r="G113" i="9"/>
  <c r="G107" i="9"/>
  <c r="I92" i="9"/>
  <c r="K107" i="9"/>
  <c r="G100" i="9"/>
  <c r="E84" i="9"/>
  <c r="I111" i="9"/>
  <c r="E119" i="9"/>
  <c r="K88" i="9"/>
  <c r="I72" i="9"/>
  <c r="G94" i="9"/>
  <c r="H115" i="9"/>
  <c r="D84" i="9"/>
  <c r="H79" i="9"/>
  <c r="J95" i="9"/>
  <c r="J91" i="9"/>
  <c r="J99" i="9"/>
  <c r="E99" i="9"/>
  <c r="F90" i="9"/>
  <c r="K111" i="9"/>
  <c r="K118" i="9"/>
  <c r="I101" i="9"/>
  <c r="F109" i="9"/>
  <c r="I102" i="9"/>
  <c r="D83" i="9"/>
  <c r="H111" i="9"/>
  <c r="G105" i="9"/>
  <c r="J109" i="9"/>
  <c r="K109" i="9"/>
  <c r="G82" i="9"/>
  <c r="I109" i="9"/>
  <c r="G115" i="9"/>
  <c r="K80" i="9"/>
  <c r="D88" i="9"/>
  <c r="F98" i="9"/>
  <c r="G106" i="9"/>
  <c r="K91" i="9"/>
  <c r="J120" i="9"/>
  <c r="E76" i="9"/>
  <c r="I89" i="9"/>
  <c r="K110" i="9"/>
  <c r="E115" i="9"/>
  <c r="I113" i="9"/>
  <c r="D72" i="9"/>
  <c r="I112" i="9"/>
  <c r="J73" i="9"/>
  <c r="D82" i="9"/>
  <c r="D93" i="9"/>
  <c r="E72" i="9"/>
  <c r="J92" i="9"/>
  <c r="G80" i="9"/>
  <c r="J105" i="9"/>
  <c r="E120" i="9"/>
  <c r="E97" i="9"/>
  <c r="D117" i="9"/>
  <c r="K100" i="9"/>
  <c r="E86" i="9"/>
  <c r="K95" i="9"/>
  <c r="J111" i="9"/>
  <c r="D102" i="9"/>
  <c r="H82" i="9"/>
  <c r="E104" i="9"/>
  <c r="J78" i="9"/>
  <c r="G103" i="9"/>
  <c r="F117" i="9"/>
  <c r="G87" i="9"/>
  <c r="E107" i="9"/>
  <c r="H84" i="9"/>
  <c r="J107" i="9"/>
  <c r="F103" i="9"/>
  <c r="G91" i="9"/>
  <c r="I91" i="9"/>
  <c r="J114" i="9"/>
  <c r="K104" i="9"/>
  <c r="H109" i="9"/>
  <c r="K98" i="9"/>
  <c r="D119" i="9"/>
  <c r="E79" i="9"/>
  <c r="H73" i="9"/>
  <c r="H114" i="9"/>
  <c r="F88" i="9"/>
  <c r="I93" i="9"/>
  <c r="D81" i="9"/>
  <c r="F75" i="9"/>
  <c r="H89" i="9"/>
  <c r="G102" i="9"/>
  <c r="I103" i="9"/>
  <c r="K87" i="9"/>
  <c r="F89" i="9"/>
  <c r="K108" i="9"/>
  <c r="I80" i="9"/>
  <c r="E109" i="9"/>
  <c r="D120" i="9"/>
  <c r="K102" i="9"/>
  <c r="D114" i="9"/>
  <c r="J112" i="9"/>
  <c r="G114" i="9"/>
  <c r="F83" i="9"/>
  <c r="H85" i="9"/>
  <c r="I119" i="9"/>
  <c r="J96" i="9"/>
  <c r="D110" i="9"/>
  <c r="K119" i="9"/>
  <c r="E81" i="9"/>
  <c r="G77" i="9"/>
  <c r="D79" i="9"/>
  <c r="F80" i="9"/>
  <c r="J102" i="9"/>
  <c r="F110" i="9"/>
  <c r="K94" i="9"/>
  <c r="G84" i="9"/>
  <c r="F100" i="9"/>
  <c r="F74" i="9"/>
</calcChain>
</file>

<file path=xl/sharedStrings.xml><?xml version="1.0" encoding="utf-8"?>
<sst xmlns="http://schemas.openxmlformats.org/spreadsheetml/2006/main" count="147" uniqueCount="89">
  <si>
    <t>time</t>
  </si>
  <si>
    <t>BTC</t>
  </si>
  <si>
    <t>ETH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</si>
  <si>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</si>
  <si>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</si>
  <si>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</si>
  <si>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</si>
  <si>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</si>
  <si>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</si>
  <si>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</si>
  <si>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</si>
  <si>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</si>
  <si>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</si>
  <si>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</si>
  <si>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</si>
  <si>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</si>
  <si>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</si>
  <si>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</si>
  <si>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</si>
  <si>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</si>
  <si>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</si>
  <si>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</si>
  <si>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</si>
  <si>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</si>
  <si>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</si>
  <si>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</si>
  <si>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</si>
  <si>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</si>
  <si>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</si>
  <si>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</si>
  <si>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</si>
  <si>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</si>
  <si>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Historical rates - Cryptocompare</t>
  </si>
  <si>
    <t>TEST STAGE FUNCTIONS - CRYPTOCOMPARE</t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</si>
  <si>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</t>
    </r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</si>
  <si>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</si>
  <si>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</si>
  <si>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</si>
  <si>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</si>
  <si>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</si>
  <si>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</si>
  <si>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</si>
  <si>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</si>
  <si>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</si>
  <si>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</si>
  <si>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</si>
  <si>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</si>
  <si>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</si>
  <si>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</si>
  <si>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t>Wallet address</t>
  </si>
  <si>
    <t>0x0D5b36603eeDE0792d6fdA1Aca78AD7412fE79aa</t>
  </si>
  <si>
    <t>ETHEREUM WALLET</t>
  </si>
  <si>
    <t>ETH balance?</t>
  </si>
  <si>
    <t>Token balances?</t>
  </si>
  <si>
    <t>Balance parameters - Using Blockscout.com</t>
  </si>
  <si>
    <t>Transactions parameters - Using Etherscan.io</t>
  </si>
  <si>
    <t>API-key (get a free one online)</t>
  </si>
  <si>
    <t>MyAPIkey</t>
  </si>
  <si>
    <t>Normal transactions?</t>
  </si>
  <si>
    <t>Internal transactions?</t>
  </si>
  <si>
    <t>Token transactions?</t>
  </si>
  <si>
    <t>timestamp</t>
  </si>
  <si>
    <t>address</t>
  </si>
  <si>
    <t>symbol</t>
  </si>
  <si>
    <t>TUSD</t>
  </si>
  <si>
    <t>amount</t>
  </si>
  <si>
    <t>tx_id</t>
  </si>
  <si>
    <t>0x176d0145bb588cd9a06865117187ecd836a66d603473cef0f52ca0cb5b7c263a</t>
  </si>
  <si>
    <t>0x0d5b36603eede0792d6fda1aca78ad7412fe79aa</t>
  </si>
  <si>
    <t>counterparty</t>
  </si>
  <si>
    <t>0x8dd5fbce2f6a956c3022ba3663759011dd51e73e</t>
  </si>
  <si>
    <t>direction</t>
  </si>
  <si>
    <t>group</t>
  </si>
  <si>
    <t>type</t>
  </si>
  <si>
    <t>curr</t>
  </si>
  <si>
    <t>description</t>
  </si>
  <si>
    <t>out</t>
  </si>
  <si>
    <t>normal</t>
  </si>
  <si>
    <t>tx</t>
  </si>
  <si>
    <t>tx_fee</t>
  </si>
  <si>
    <t>NOFEE</t>
  </si>
  <si>
    <t>0x3f5ce5fbfe3e9af3971dd833d26ba9b5c936f0be</t>
  </si>
  <si>
    <t>token</t>
  </si>
  <si>
    <t>0x7508c6ec1b18108512972ad64a54a6649a083f4518ff21f096c47489e2497530</t>
  </si>
  <si>
    <t>0x0b95993a39a363d99280ac950f5e4536ab5c5566</t>
  </si>
  <si>
    <t>in</t>
  </si>
  <si>
    <t>int</t>
  </si>
  <si>
    <t>0x2b92110f0b8eefda24f7f71bd70398e5b9be54878d5e0d13cde70daf3ab7bd83</t>
  </si>
  <si>
    <t>0xc0363d752e014d7e47eba7e41cc86e0e82075b3c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</si>
</sst>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.0000000_);_(* \(#,##0.0000000\);_(* &quot;-&quot;??_);_(@_)"/>
    <numFmt numFmtId="166" formatCode="d/mm/yy\ h:mm;@"/>
    <numFmt numFmtId="167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5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6" fontId="3" fillId="4" borderId="0" xfId="0" applyNumberFormat="1" applyFont="1" applyFill="1"/>
    <xf numFmtId="167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9" fillId="0" borderId="0" xfId="0" applyFont="1"/>
    <xf numFmtId="0" fontId="9" fillId="4" borderId="0" xfId="0" applyFont="1" applyFill="1"/>
    <xf numFmtId="22" fontId="0" fillId="0" borderId="0" xfId="0" applyNumberFormat="1"/>
    <xf numFmtId="0" fontId="10" fillId="0" borderId="0" xfId="0" applyFont="1"/>
  </cellXfs>
  <cellStyles count="2">
    <cellStyle name="Komma" xfId="1" builtinId="3"/>
    <cellStyle name="Standaard" xfId="0" builtinId="0"/>
  </cellStyles>
  <dxfs count="2">
    <dxf>
      <numFmt numFmtId="168" formatCode="m/d/yyyy\ h:mm"/>
    </dxf>
    <dxf>
      <numFmt numFmtId="168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335280</xdr:colOff>
          <xdr:row>9</xdr:row>
          <xdr:rowOff>53340</xdr:rowOff>
        </xdr:from>
        <xdr:to>
          <xdr:col>14</xdr:col>
          <xdr:colOff>601980</xdr:colOff>
          <xdr:row>11</xdr:row>
          <xdr:rowOff>129540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1409700</xdr:colOff>
          <xdr:row>2</xdr:row>
          <xdr:rowOff>0</xdr:rowOff>
        </xdr:from>
        <xdr:to>
          <xdr:col>4</xdr:col>
          <xdr:colOff>487680</xdr:colOff>
          <xdr:row>4</xdr:row>
          <xdr:rowOff>0</xdr:rowOff>
        </xdr:to>
        <xdr:sp macro="" textlink="">
          <xdr:nvSpPr>
            <xdr:cNvPr id="3073" name="CmdGetEthWallet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7DB4AD-9ADC-498C-B880-8BDB0654742B}" name="TblEthBal" displayName="TblEthBal" ref="B19:E21" totalsRowShown="0">
  <autoFilter ref="B19:E21" xr:uid="{E08266DF-751F-48D1-8DC0-797C83BECEA3}"/>
  <tableColumns count="4">
    <tableColumn id="1" xr3:uid="{6F3BA2C9-6349-4459-B029-1C0AF505718A}" name="timestamp" dataDxfId="1"/>
    <tableColumn id="2" xr3:uid="{8F7DDC1F-01F2-41F3-8E97-69B140F75286}" name="address"/>
    <tableColumn id="3" xr3:uid="{CF81E08D-E40F-4BC4-9404-9AD4B365CB9D}" name="symbol"/>
    <tableColumn id="4" xr3:uid="{1625E4BB-CF56-47FC-A64F-2D724C6ADB7C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D1972D-07B7-494F-8E42-BCDA5406C980}" name="TblEthTx" displayName="TblEthTx" ref="H19:Q25" totalsRowShown="0">
  <autoFilter ref="H19:Q25" xr:uid="{6C63A8D1-FF86-44A6-ACC2-3A3C761D7C48}"/>
  <tableColumns count="10">
    <tableColumn id="1" xr3:uid="{99608093-52CF-4E01-89FC-47F4B4D19D41}" name="tx_id"/>
    <tableColumn id="2" xr3:uid="{18C27556-9971-4C72-B68F-6489EDC0BDE8}" name="timestamp" dataDxfId="0"/>
    <tableColumn id="3" xr3:uid="{B555B04E-F7B0-4BE3-8E64-13A13E829F3B}" name="address"/>
    <tableColumn id="4" xr3:uid="{4B850048-48CE-4585-B0FA-2C827996678D}" name="counterparty"/>
    <tableColumn id="5" xr3:uid="{214FF249-055C-4934-9A2A-13251526290C}" name="direction"/>
    <tableColumn id="6" xr3:uid="{C8408113-FE78-4791-ACC2-F5387EDEDAA9}" name="group"/>
    <tableColumn id="7" xr3:uid="{56A56656-200C-4C1E-881A-A1817A434041}" name="type"/>
    <tableColumn id="8" xr3:uid="{6C18F9F1-448A-4251-8E19-CCEF2D86FEBF}" name="amount"/>
    <tableColumn id="9" xr3:uid="{E236750E-E929-4388-A0ED-5BFC98976E5E}" name="curr"/>
    <tableColumn id="10" xr3:uid="{D27048E4-6BB0-4CDD-A027-3970A2C6258B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opLeftCell="A49" workbookViewId="0">
      <selection activeCell="D11" sqref="D11"/>
    </sheetView>
  </sheetViews>
  <sheetFormatPr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7773437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77734375" style="1" customWidth="1"/>
    <col min="9" max="9" width="14.109375" style="1" customWidth="1"/>
    <col min="10" max="10" width="14.2187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33</v>
      </c>
    </row>
    <row r="3" spans="2:10" x14ac:dyDescent="0.2">
      <c r="B3" s="1" t="s">
        <v>34</v>
      </c>
    </row>
    <row r="4" spans="2:10" x14ac:dyDescent="0.2">
      <c r="B4" s="1" t="s">
        <v>35</v>
      </c>
    </row>
    <row r="5" spans="2:10" x14ac:dyDescent="0.2">
      <c r="B5" s="1" t="s">
        <v>36</v>
      </c>
    </row>
    <row r="6" spans="2:10" x14ac:dyDescent="0.2">
      <c r="B6" s="1" t="s">
        <v>37</v>
      </c>
    </row>
    <row r="8" spans="2:10" x14ac:dyDescent="0.2">
      <c r="B8" s="2" t="s">
        <v>3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7</v>
      </c>
    </row>
    <row r="10" spans="2:10" x14ac:dyDescent="0.2">
      <c r="C10" s="1" t="s">
        <v>8</v>
      </c>
    </row>
    <row r="11" spans="2:10" x14ac:dyDescent="0.2">
      <c r="C11" s="4" t="s">
        <v>38</v>
      </c>
    </row>
    <row r="12" spans="2:10" x14ac:dyDescent="0.2">
      <c r="C12" s="4" t="s">
        <v>39</v>
      </c>
    </row>
    <row r="13" spans="2:10" x14ac:dyDescent="0.2">
      <c r="C13" s="4" t="s">
        <v>40</v>
      </c>
    </row>
    <row r="15" spans="2:10" x14ac:dyDescent="0.2">
      <c r="C15" s="5" t="s">
        <v>10</v>
      </c>
    </row>
    <row r="16" spans="2:10" x14ac:dyDescent="0.2">
      <c r="C16" s="4" t="s">
        <v>9</v>
      </c>
      <c r="D16" s="6">
        <f ca="1">C_LAST_PRICE("ETH","EUR")</f>
        <v>160.74</v>
      </c>
    </row>
    <row r="17" spans="2:10" x14ac:dyDescent="0.2">
      <c r="C17" s="4" t="s">
        <v>11</v>
      </c>
      <c r="D17" s="7">
        <f ca="1">C_LAST_PRICE("XLM","BTC","Kraken")</f>
        <v>5.8699999999999997E-6</v>
      </c>
    </row>
    <row r="18" spans="2:10" x14ac:dyDescent="0.2">
      <c r="C18" s="4" t="s">
        <v>12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4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15</v>
      </c>
    </row>
    <row r="22" spans="2:10" x14ac:dyDescent="0.2">
      <c r="C22" s="1" t="s">
        <v>8</v>
      </c>
    </row>
    <row r="23" spans="2:10" x14ac:dyDescent="0.2">
      <c r="C23" s="4" t="s">
        <v>38</v>
      </c>
    </row>
    <row r="24" spans="2:10" x14ac:dyDescent="0.2">
      <c r="C24" s="4" t="s">
        <v>39</v>
      </c>
    </row>
    <row r="25" spans="2:10" x14ac:dyDescent="0.2">
      <c r="C25" s="4" t="s">
        <v>41</v>
      </c>
    </row>
    <row r="26" spans="2:10" x14ac:dyDescent="0.2">
      <c r="C26" s="4" t="s">
        <v>40</v>
      </c>
    </row>
    <row r="28" spans="2:10" x14ac:dyDescent="0.2">
      <c r="C28" s="5" t="s">
        <v>10</v>
      </c>
    </row>
    <row r="29" spans="2:10" x14ac:dyDescent="0.2">
      <c r="C29" s="4" t="s">
        <v>13</v>
      </c>
      <c r="D29" s="6">
        <f ca="1">C_HIST_PRICE("XMR","EUR",DATE(2018,1,1))</f>
        <v>66.55</v>
      </c>
    </row>
    <row r="30" spans="2:10" x14ac:dyDescent="0.2">
      <c r="C30" s="4" t="s">
        <v>14</v>
      </c>
      <c r="D30" s="6">
        <f ca="1">C_HIST_PRICE("XLM","BTC",DATE(2018,1,1), "Poloniex")</f>
        <v>5.8799999999999996E-6</v>
      </c>
    </row>
    <row r="31" spans="2:10" x14ac:dyDescent="0.2">
      <c r="C31" s="4"/>
    </row>
    <row r="32" spans="2:10" x14ac:dyDescent="0.2">
      <c r="B32" s="2" t="s">
        <v>5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16</v>
      </c>
    </row>
    <row r="34" spans="2:10" x14ac:dyDescent="0.2">
      <c r="C34" s="1" t="s">
        <v>8</v>
      </c>
    </row>
    <row r="35" spans="2:10" x14ac:dyDescent="0.2">
      <c r="C35" s="4" t="s">
        <v>38</v>
      </c>
    </row>
    <row r="36" spans="2:10" x14ac:dyDescent="0.2">
      <c r="C36" s="4" t="s">
        <v>39</v>
      </c>
    </row>
    <row r="37" spans="2:10" x14ac:dyDescent="0.2">
      <c r="C37" s="4" t="s">
        <v>41</v>
      </c>
    </row>
    <row r="38" spans="2:10" x14ac:dyDescent="0.2">
      <c r="C38" s="4" t="s">
        <v>40</v>
      </c>
    </row>
    <row r="40" spans="2:10" x14ac:dyDescent="0.2">
      <c r="C40" s="5" t="s">
        <v>10</v>
      </c>
    </row>
    <row r="41" spans="2:10" x14ac:dyDescent="0.2">
      <c r="C41" s="4" t="s">
        <v>18</v>
      </c>
      <c r="D41" s="6">
        <f ca="1">C_DAY_AVG_PRICE("XMR","EUR","2017/07/01")</f>
        <v>36.47</v>
      </c>
    </row>
    <row r="42" spans="2:10" x14ac:dyDescent="0.2">
      <c r="C42" s="4" t="s">
        <v>17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6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19</v>
      </c>
    </row>
    <row r="46" spans="2:10" x14ac:dyDescent="0.2">
      <c r="B46" s="1" t="s">
        <v>42</v>
      </c>
    </row>
    <row r="47" spans="2:10" x14ac:dyDescent="0.2">
      <c r="B47" s="8" t="s">
        <v>20</v>
      </c>
    </row>
    <row r="48" spans="2:10" x14ac:dyDescent="0.2">
      <c r="C48" s="1" t="s">
        <v>8</v>
      </c>
    </row>
    <row r="49" spans="3:6" x14ac:dyDescent="0.2">
      <c r="C49" s="4" t="s">
        <v>43</v>
      </c>
    </row>
    <row r="50" spans="3:6" x14ac:dyDescent="0.2">
      <c r="C50" s="4" t="s">
        <v>38</v>
      </c>
    </row>
    <row r="51" spans="3:6" x14ac:dyDescent="0.2">
      <c r="C51" s="4" t="s">
        <v>39</v>
      </c>
    </row>
    <row r="52" spans="3:6" x14ac:dyDescent="0.2">
      <c r="C52" s="4" t="s">
        <v>44</v>
      </c>
    </row>
    <row r="53" spans="3:6" x14ac:dyDescent="0.2">
      <c r="C53" s="1" t="s">
        <v>21</v>
      </c>
    </row>
    <row r="54" spans="3:6" x14ac:dyDescent="0.2">
      <c r="C54" s="4" t="s">
        <v>45</v>
      </c>
    </row>
    <row r="55" spans="3:6" x14ac:dyDescent="0.2">
      <c r="C55" s="4" t="s">
        <v>46</v>
      </c>
    </row>
    <row r="56" spans="3:6" x14ac:dyDescent="0.2">
      <c r="C56" s="4" t="s">
        <v>40</v>
      </c>
    </row>
    <row r="58" spans="3:6" x14ac:dyDescent="0.2">
      <c r="C58" s="5" t="s">
        <v>10</v>
      </c>
    </row>
    <row r="59" spans="3:6" x14ac:dyDescent="0.2">
      <c r="C59" s="4" t="s">
        <v>22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43702</v>
      </c>
      <c r="E60" s="6">
        <f ca="1"/>
        <v>1.84E-2</v>
      </c>
      <c r="F60" s="6">
        <f ca="1"/>
        <v>36768.61</v>
      </c>
    </row>
    <row r="61" spans="3:6" x14ac:dyDescent="0.2">
      <c r="D61" s="10">
        <f ca="1"/>
        <v>43703</v>
      </c>
      <c r="E61" s="6">
        <f ca="1"/>
        <v>1.8180000000000002E-2</v>
      </c>
      <c r="F61" s="6">
        <f ca="1"/>
        <v>44602.7</v>
      </c>
    </row>
    <row r="62" spans="3:6" x14ac:dyDescent="0.2">
      <c r="D62" s="10">
        <f ca="1"/>
        <v>43704</v>
      </c>
      <c r="E62" s="6">
        <f ca="1"/>
        <v>1.839E-2</v>
      </c>
      <c r="F62" s="6">
        <f ca="1"/>
        <v>39872.480000000003</v>
      </c>
    </row>
    <row r="63" spans="3:6" x14ac:dyDescent="0.2">
      <c r="D63" s="10">
        <f ca="1"/>
        <v>43705</v>
      </c>
      <c r="E63" s="6">
        <f ca="1"/>
        <v>1.779E-2</v>
      </c>
      <c r="F63" s="6">
        <f ca="1"/>
        <v>46483.96</v>
      </c>
    </row>
    <row r="64" spans="3:6" x14ac:dyDescent="0.2">
      <c r="D64" s="10">
        <f ca="1"/>
        <v>43706</v>
      </c>
      <c r="E64" s="6">
        <f ca="1"/>
        <v>1.78E-2</v>
      </c>
      <c r="F64" s="6">
        <f ca="1"/>
        <v>51080.24</v>
      </c>
    </row>
    <row r="65" spans="3:11" x14ac:dyDescent="0.2">
      <c r="D65" s="10">
        <f ca="1"/>
        <v>43707</v>
      </c>
      <c r="E65" s="6">
        <f ca="1"/>
        <v>1.7579999999999998E-2</v>
      </c>
      <c r="F65" s="6">
        <f ca="1"/>
        <v>40968.28</v>
      </c>
    </row>
    <row r="66" spans="3:11" x14ac:dyDescent="0.2">
      <c r="D66" s="10">
        <f ca="1"/>
        <v>43708</v>
      </c>
      <c r="E66" s="6">
        <f ca="1"/>
        <v>1.789E-2</v>
      </c>
      <c r="F66" s="6">
        <f ca="1"/>
        <v>43731.15</v>
      </c>
    </row>
    <row r="67" spans="3:11" x14ac:dyDescent="0.2">
      <c r="D67" s="10">
        <f ca="1"/>
        <v>43709</v>
      </c>
      <c r="E67" s="6">
        <f ca="1"/>
        <v>1.754E-2</v>
      </c>
      <c r="F67" s="6">
        <f ca="1"/>
        <v>34882.74</v>
      </c>
    </row>
    <row r="68" spans="3:11" x14ac:dyDescent="0.2">
      <c r="D68" s="10">
        <f ca="1"/>
        <v>43710</v>
      </c>
      <c r="E68" s="6">
        <f ca="1"/>
        <v>1.721E-2</v>
      </c>
      <c r="F68" s="6">
        <f ca="1"/>
        <v>45418.45</v>
      </c>
    </row>
    <row r="69" spans="3:11" x14ac:dyDescent="0.2">
      <c r="D69" s="10">
        <f ca="1"/>
        <v>43711</v>
      </c>
      <c r="E69" s="6">
        <f ca="1"/>
        <v>1.685E-2</v>
      </c>
      <c r="F69" s="6">
        <f ca="1"/>
        <v>45757.55</v>
      </c>
    </row>
    <row r="72" spans="3:11" x14ac:dyDescent="0.2">
      <c r="C72" s="4" t="s">
        <v>23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29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30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H27" sqref="H27"/>
    </sheetView>
  </sheetViews>
  <sheetFormatPr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32</v>
      </c>
      <c r="D2" s="4"/>
    </row>
    <row r="3" spans="3:11" x14ac:dyDescent="0.2">
      <c r="C3" s="14" t="s">
        <v>31</v>
      </c>
      <c r="D3" s="4" t="s">
        <v>43</v>
      </c>
    </row>
    <row r="4" spans="3:11" x14ac:dyDescent="0.2">
      <c r="C4" s="14" t="s">
        <v>2</v>
      </c>
      <c r="D4" s="4" t="s">
        <v>38</v>
      </c>
    </row>
    <row r="5" spans="3:11" x14ac:dyDescent="0.2">
      <c r="C5" s="14" t="s">
        <v>1</v>
      </c>
      <c r="D5" s="4" t="s">
        <v>39</v>
      </c>
    </row>
    <row r="6" spans="3:11" x14ac:dyDescent="0.2">
      <c r="C6" s="14" t="s">
        <v>27</v>
      </c>
      <c r="D6" s="4" t="s">
        <v>44</v>
      </c>
      <c r="K6" s="1" t="s">
        <v>21</v>
      </c>
    </row>
    <row r="7" spans="3:11" x14ac:dyDescent="0.2">
      <c r="C7" s="14">
        <v>5</v>
      </c>
      <c r="D7" s="4" t="s">
        <v>45</v>
      </c>
    </row>
    <row r="8" spans="3:11" x14ac:dyDescent="0.2">
      <c r="C8" s="15"/>
      <c r="D8" s="4" t="s">
        <v>46</v>
      </c>
    </row>
    <row r="9" spans="3:11" x14ac:dyDescent="0.2">
      <c r="C9" s="14"/>
      <c r="D9" s="4" t="s">
        <v>40</v>
      </c>
    </row>
    <row r="10" spans="3:11" x14ac:dyDescent="0.2">
      <c r="C10" s="14" t="b">
        <v>1</v>
      </c>
      <c r="D10" s="4" t="s">
        <v>47</v>
      </c>
    </row>
    <row r="11" spans="3:11" x14ac:dyDescent="0.2">
      <c r="C11" s="14"/>
      <c r="D11" s="4" t="s">
        <v>48</v>
      </c>
    </row>
    <row r="12" spans="3:11" x14ac:dyDescent="0.2">
      <c r="D12" s="16"/>
    </row>
    <row r="13" spans="3:11" x14ac:dyDescent="0.2">
      <c r="D13" s="16"/>
    </row>
    <row r="14" spans="3:11" x14ac:dyDescent="0.2">
      <c r="C14" s="2" t="s">
        <v>24</v>
      </c>
      <c r="D14" s="2"/>
      <c r="E14" s="2"/>
      <c r="F14" s="2"/>
      <c r="G14" s="2"/>
      <c r="H14" s="2"/>
    </row>
    <row r="15" spans="3:11" x14ac:dyDescent="0.2">
      <c r="C15" s="17" t="s">
        <v>0</v>
      </c>
      <c r="D15" s="1" t="s">
        <v>25</v>
      </c>
      <c r="E15" s="1" t="s">
        <v>26</v>
      </c>
      <c r="F15" s="1" t="s">
        <v>28</v>
      </c>
    </row>
    <row r="16" spans="3:11" x14ac:dyDescent="0.2">
      <c r="C16" s="17">
        <v>43603</v>
      </c>
      <c r="D16" s="1">
        <v>3.1820000000000001E-2</v>
      </c>
      <c r="E16" s="1">
        <v>197355.23</v>
      </c>
      <c r="F16" s="1">
        <v>6114777.0599999996</v>
      </c>
    </row>
    <row r="17" spans="3:6" x14ac:dyDescent="0.2">
      <c r="C17" s="17">
        <v>43605</v>
      </c>
      <c r="D17" s="1">
        <v>3.2050000000000002E-2</v>
      </c>
      <c r="E17" s="1">
        <v>186279.54</v>
      </c>
      <c r="F17" s="1">
        <v>5866344.4800000004</v>
      </c>
    </row>
    <row r="18" spans="3:6" x14ac:dyDescent="0.2">
      <c r="C18" s="17">
        <v>43607</v>
      </c>
      <c r="D18" s="1">
        <v>3.117E-2</v>
      </c>
      <c r="E18" s="1">
        <v>182597.88</v>
      </c>
      <c r="F18" s="1">
        <v>5764915.4100000001</v>
      </c>
    </row>
    <row r="19" spans="3:6" x14ac:dyDescent="0.2">
      <c r="C19" s="17">
        <v>43609</v>
      </c>
      <c r="D19" s="1">
        <v>3.1220000000000001E-2</v>
      </c>
      <c r="E19" s="1">
        <v>165412.84</v>
      </c>
      <c r="F19" s="1">
        <v>5281155.6100000003</v>
      </c>
    </row>
    <row r="20" spans="3:6" x14ac:dyDescent="0.2">
      <c r="C20" s="17">
        <v>43611</v>
      </c>
      <c r="D20" s="1">
        <v>3.0949999999999998E-2</v>
      </c>
      <c r="E20" s="1">
        <v>175860.67</v>
      </c>
      <c r="F20" s="1">
        <v>5703267.1900000004</v>
      </c>
    </row>
    <row r="21" spans="3:6" x14ac:dyDescent="0.2">
      <c r="C21" s="17">
        <v>43613</v>
      </c>
      <c r="D21" s="1">
        <v>3.0939999999999999E-2</v>
      </c>
      <c r="E21" s="1">
        <v>24346.01</v>
      </c>
      <c r="F21" s="1">
        <v>787524.31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11</xdr:col>
                <xdr:colOff>335280</xdr:colOff>
                <xdr:row>9</xdr:row>
                <xdr:rowOff>53340</xdr:rowOff>
              </from>
              <to>
                <xdr:col>14</xdr:col>
                <xdr:colOff>601980</xdr:colOff>
                <xdr:row>11</xdr:row>
                <xdr:rowOff>129540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520BD-A8FA-4892-AD27-DE0DDFA83FF5}">
  <sheetPr codeName="Blad1"/>
  <dimension ref="B2:Q25"/>
  <sheetViews>
    <sheetView tabSelected="1" topLeftCell="B1" zoomScale="85" zoomScaleNormal="85" workbookViewId="0">
      <selection activeCell="B2" sqref="B2"/>
    </sheetView>
  </sheetViews>
  <sheetFormatPr defaultRowHeight="14.4" x14ac:dyDescent="0.3"/>
  <cols>
    <col min="1" max="1" width="5.109375" customWidth="1"/>
    <col min="2" max="2" width="39.33203125" bestFit="1" customWidth="1"/>
    <col min="3" max="3" width="44.6640625" bestFit="1" customWidth="1"/>
    <col min="4" max="4" width="44" bestFit="1" customWidth="1"/>
    <col min="5" max="5" width="9.88671875" customWidth="1"/>
    <col min="8" max="8" width="74.109375" bestFit="1" customWidth="1"/>
    <col min="9" max="9" width="16.77734375" bestFit="1" customWidth="1"/>
    <col min="10" max="10" width="47.109375" bestFit="1" customWidth="1"/>
    <col min="11" max="11" width="47.88671875" bestFit="1" customWidth="1"/>
    <col min="12" max="12" width="10.77734375" customWidth="1"/>
    <col min="13" max="13" width="8.109375" customWidth="1"/>
    <col min="14" max="14" width="7" customWidth="1"/>
    <col min="15" max="15" width="11.6640625" bestFit="1" customWidth="1"/>
    <col min="16" max="16" width="6.5546875" customWidth="1"/>
    <col min="17" max="17" width="47.109375" bestFit="1" customWidth="1"/>
  </cols>
  <sheetData>
    <row r="2" spans="2:3" x14ac:dyDescent="0.3">
      <c r="B2" s="22" t="s">
        <v>51</v>
      </c>
    </row>
    <row r="3" spans="2:3" x14ac:dyDescent="0.3">
      <c r="B3" s="19" t="s">
        <v>49</v>
      </c>
      <c r="C3" s="20" t="s">
        <v>50</v>
      </c>
    </row>
    <row r="5" spans="2:3" x14ac:dyDescent="0.3">
      <c r="B5" s="19" t="s">
        <v>54</v>
      </c>
    </row>
    <row r="6" spans="2:3" x14ac:dyDescent="0.3">
      <c r="B6" t="s">
        <v>52</v>
      </c>
      <c r="C6" s="20" t="b">
        <v>1</v>
      </c>
    </row>
    <row r="7" spans="2:3" x14ac:dyDescent="0.3">
      <c r="B7" t="s">
        <v>53</v>
      </c>
      <c r="C7" s="20" t="b">
        <v>1</v>
      </c>
    </row>
    <row r="9" spans="2:3" x14ac:dyDescent="0.3">
      <c r="B9" s="19" t="s">
        <v>55</v>
      </c>
    </row>
    <row r="10" spans="2:3" x14ac:dyDescent="0.3">
      <c r="B10" t="s">
        <v>56</v>
      </c>
      <c r="C10" s="20" t="s">
        <v>57</v>
      </c>
    </row>
    <row r="11" spans="2:3" x14ac:dyDescent="0.3">
      <c r="B11" t="s">
        <v>58</v>
      </c>
      <c r="C11" s="20" t="b">
        <v>1</v>
      </c>
    </row>
    <row r="12" spans="2:3" x14ac:dyDescent="0.3">
      <c r="B12" t="s">
        <v>59</v>
      </c>
      <c r="C12" s="20" t="b">
        <v>1</v>
      </c>
    </row>
    <row r="13" spans="2:3" x14ac:dyDescent="0.3">
      <c r="B13" t="s">
        <v>60</v>
      </c>
      <c r="C13" s="20" t="b">
        <v>1</v>
      </c>
    </row>
    <row r="19" spans="2:17" x14ac:dyDescent="0.3">
      <c r="B19" t="s">
        <v>61</v>
      </c>
      <c r="C19" s="21" t="s">
        <v>62</v>
      </c>
      <c r="D19" s="21" t="s">
        <v>63</v>
      </c>
      <c r="E19" t="s">
        <v>65</v>
      </c>
      <c r="H19" t="s">
        <v>66</v>
      </c>
      <c r="I19" t="s">
        <v>61</v>
      </c>
      <c r="J19" t="s">
        <v>62</v>
      </c>
      <c r="K19" t="s">
        <v>69</v>
      </c>
      <c r="L19" t="s">
        <v>71</v>
      </c>
      <c r="M19" t="s">
        <v>72</v>
      </c>
      <c r="N19" t="s">
        <v>73</v>
      </c>
      <c r="O19" t="s">
        <v>65</v>
      </c>
      <c r="P19" t="s">
        <v>74</v>
      </c>
      <c r="Q19" t="s">
        <v>75</v>
      </c>
    </row>
    <row r="20" spans="2:17" x14ac:dyDescent="0.3">
      <c r="B20" s="21">
        <v>43640.486064814817</v>
      </c>
      <c r="C20" t="s">
        <v>50</v>
      </c>
      <c r="D20" t="s">
        <v>2</v>
      </c>
      <c r="E20">
        <v>5.1745000000000003E-3</v>
      </c>
      <c r="H20" t="s">
        <v>67</v>
      </c>
      <c r="I20" s="21">
        <v>43396.319085648145</v>
      </c>
      <c r="J20" s="21" t="s">
        <v>68</v>
      </c>
      <c r="K20" t="s">
        <v>70</v>
      </c>
      <c r="L20" t="s">
        <v>76</v>
      </c>
      <c r="M20" t="s">
        <v>77</v>
      </c>
      <c r="N20" t="s">
        <v>78</v>
      </c>
      <c r="O20">
        <v>0</v>
      </c>
      <c r="P20" t="s">
        <v>2</v>
      </c>
    </row>
    <row r="21" spans="2:17" x14ac:dyDescent="0.3">
      <c r="B21" s="21">
        <v>43640.486064814817</v>
      </c>
      <c r="C21" t="s">
        <v>50</v>
      </c>
      <c r="D21" t="s">
        <v>64</v>
      </c>
      <c r="E21">
        <v>0</v>
      </c>
      <c r="H21" t="s">
        <v>67</v>
      </c>
      <c r="I21" s="21">
        <v>43396.319085648145</v>
      </c>
      <c r="J21" t="s">
        <v>68</v>
      </c>
      <c r="K21" t="s">
        <v>70</v>
      </c>
      <c r="L21" t="s">
        <v>76</v>
      </c>
      <c r="M21" t="s">
        <v>77</v>
      </c>
      <c r="N21" t="s">
        <v>79</v>
      </c>
      <c r="O21">
        <v>0</v>
      </c>
      <c r="P21" t="s">
        <v>2</v>
      </c>
      <c r="Q21" t="s">
        <v>80</v>
      </c>
    </row>
    <row r="22" spans="2:17" x14ac:dyDescent="0.3">
      <c r="H22" t="s">
        <v>67</v>
      </c>
      <c r="I22" s="21">
        <v>43396.319085648145</v>
      </c>
      <c r="J22" t="s">
        <v>68</v>
      </c>
      <c r="K22" t="s">
        <v>81</v>
      </c>
      <c r="L22" t="s">
        <v>76</v>
      </c>
      <c r="M22" t="s">
        <v>82</v>
      </c>
      <c r="N22" t="s">
        <v>78</v>
      </c>
      <c r="O22">
        <v>-15.773</v>
      </c>
      <c r="P22" t="s">
        <v>64</v>
      </c>
      <c r="Q22" t="s">
        <v>70</v>
      </c>
    </row>
    <row r="23" spans="2:17" x14ac:dyDescent="0.3">
      <c r="H23" t="s">
        <v>67</v>
      </c>
      <c r="I23" s="21">
        <v>43396.319085648145</v>
      </c>
      <c r="J23" t="s">
        <v>68</v>
      </c>
      <c r="K23" t="s">
        <v>81</v>
      </c>
      <c r="L23" t="s">
        <v>76</v>
      </c>
      <c r="M23" t="s">
        <v>82</v>
      </c>
      <c r="N23" t="s">
        <v>79</v>
      </c>
      <c r="O23">
        <v>-8.2549999999999995E-4</v>
      </c>
      <c r="P23" t="s">
        <v>2</v>
      </c>
    </row>
    <row r="24" spans="2:17" x14ac:dyDescent="0.3">
      <c r="H24" t="s">
        <v>83</v>
      </c>
      <c r="I24" s="21">
        <v>43396.312175925923</v>
      </c>
      <c r="J24" t="s">
        <v>68</v>
      </c>
      <c r="K24" t="s">
        <v>84</v>
      </c>
      <c r="L24" t="s">
        <v>85</v>
      </c>
      <c r="M24" t="s">
        <v>86</v>
      </c>
      <c r="N24" t="s">
        <v>78</v>
      </c>
      <c r="O24">
        <v>6.0000000000000001E-3</v>
      </c>
      <c r="P24" t="s">
        <v>2</v>
      </c>
    </row>
    <row r="25" spans="2:17" x14ac:dyDescent="0.3">
      <c r="H25" t="s">
        <v>87</v>
      </c>
      <c r="I25" s="21">
        <v>43396.30091435185</v>
      </c>
      <c r="J25" t="s">
        <v>68</v>
      </c>
      <c r="K25" t="s">
        <v>88</v>
      </c>
      <c r="L25" t="s">
        <v>85</v>
      </c>
      <c r="M25" t="s">
        <v>82</v>
      </c>
      <c r="N25" t="s">
        <v>78</v>
      </c>
      <c r="O25">
        <v>15.773</v>
      </c>
      <c r="P25" t="s">
        <v>64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3" r:id="rId4" name="CmdGetEthWalletData">
          <controlPr defaultSize="0" autoLine="0" r:id="rId5">
            <anchor moveWithCells="1">
              <from>
                <xdr:col>3</xdr:col>
                <xdr:colOff>1409700</xdr:colOff>
                <xdr:row>2</xdr:row>
                <xdr:rowOff>0</xdr:rowOff>
              </from>
              <to>
                <xdr:col>4</xdr:col>
                <xdr:colOff>487680</xdr:colOff>
                <xdr:row>4</xdr:row>
                <xdr:rowOff>0</xdr:rowOff>
              </to>
            </anchor>
          </controlPr>
        </control>
      </mc:Choice>
      <mc:Fallback>
        <control shapeId="3073" r:id="rId4" name="CmdGetEthWalletData"/>
      </mc:Fallback>
    </mc:AlternateContent>
  </controls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FORMULAS</vt:lpstr>
      <vt:lpstr>RATES_MACRO</vt:lpstr>
      <vt:lpstr>WALLET_ETH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2019-09-04T10:02:11Z</dcterms:modified>
</cp:coreProperties>
</file>